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71AD1ED1-EF6B-4730-8BF4-366309AE73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nalysis" sheetId="5" r:id="rId1"/>
    <sheet name="Accidents by Collision Type" sheetId="1" r:id="rId2"/>
    <sheet name="Accidents by Year" sheetId="3" r:id="rId3"/>
    <sheet name="Weekend vs Weekday" sheetId="2" r:id="rId4"/>
    <sheet name="Accidents by Hour" sheetId="4" r:id="rId5"/>
  </sheets>
  <definedNames>
    <definedName name="_xlnm._FilterDatabase" localSheetId="1" hidden="1">'Accidents by Collision Type'!$D$1:$E$1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<sst xmlns="http://schemas.openxmlformats.org/spreadsheetml/2006/main" count="32" uniqueCount="20">
  <si>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Accidents by Collision Type</t>
  </si>
  <si>
    <t>Data</t>
  </si>
  <si>
    <t>Graph</t>
  </si>
  <si>
    <t>Collision_Type</t>
  </si>
  <si>
    <t>TotalAccidents</t>
  </si>
  <si>
    <t>2-Car</t>
  </si>
  <si>
    <t>1-Car</t>
  </si>
  <si>
    <t>3+ Cars</t>
  </si>
  <si>
    <t>Moped/Motorcycle</t>
  </si>
  <si>
    <t>Bus</t>
  </si>
  <si>
    <t>Pedestrian</t>
  </si>
  <si>
    <t>Cyclist</t>
  </si>
  <si>
    <t>Unknown</t>
  </si>
  <si>
    <t>Accidents by Year</t>
  </si>
  <si>
    <t>Year</t>
  </si>
  <si>
    <t>Weekend vs Weekday</t>
  </si>
  <si>
    <t>Weekend</t>
  </si>
  <si>
    <t>Weekday</t>
  </si>
  <si>
    <t>Accidents by Hour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</si>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</sst>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rgb="FF000000"/>
      <name val="Aptos Display"/>
      <scheme val="major"/>
    </font>
    <font>
      <b/>
      <sz val="18"/>
      <color theme="1"/>
      <name val="Aptos Display"/>
      <scheme val="maj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0" fillId="2" borderId="5" xfId="0" applyFill="1" applyBorder="1"/>
    <xf numFmtId="0" fontId="1" fillId="2" borderId="5" xfId="0" applyFont="1" applyFill="1" applyBorder="1" applyAlignment="1">
      <alignment horizontal="center"/>
    </xf>
    <xf numFmtId="0" fontId="0" fillId="2" borderId="2" xfId="0" applyFill="1" applyBorder="1"/>
    <xf numFmtId="0" fontId="2" fillId="3" borderId="6" xfId="0" applyFont="1" applyFill="1" applyBorder="1"/>
    <xf numFmtId="0" fontId="0" fillId="3" borderId="6" xfId="0" applyFill="1" applyBorder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Border="1"/>
    <xf numFmtId="0" fontId="0" fillId="2" borderId="7" xfId="0" applyFill="1" applyBorder="1"/>
  </cellXfs>
  <cellStyles count="1">
    <cellStyle name="Normal" xfId="0" builtinId="0"/>
  </cellStyles>
  <dxfs count="6"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Collision Type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'Accidents by Collision Type'!$B$3</c:f>
              <c:strCache>
                <c:ptCount val="1"/>
                <c:pt idx="0">
                  <c:v>TotalAccidents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'Accidents by Collision Type'!$A$4:$A$11</c:f>
              <c:strCache>
                <c:ptCount val="8"/>
                <c:pt idx="0">
                  <c:v>2-Car</c:v>
                </c:pt>
                <c:pt idx="1">
                  <c:v>1-Car</c:v>
                </c:pt>
                <c:pt idx="2">
                  <c:v>3+ Cars</c:v>
                </c:pt>
                <c:pt idx="3">
                  <c:v>Moped/Motorcycle</c:v>
                </c:pt>
                <c:pt idx="4">
                  <c:v>Bus</c:v>
                </c:pt>
                <c:pt idx="5">
                  <c:v>Pedestrian</c:v>
                </c:pt>
                <c:pt idx="6">
                  <c:v>Cyclist</c:v>
                </c:pt>
                <c:pt idx="7">
                  <c:v>Unknown</c:v>
                </c:pt>
              </c:strCache>
            </c:strRef>
          </c:cat>
          <c:val>
            <c:numRef>
              <c:f>'Accidents by Collision Type'!$B$4:$B$11</c:f>
              <c:numCache>
                <c:formatCode>General</c:formatCode>
                <c:ptCount val="8"/>
                <c:pt idx="0">
                  <c:v>37606</c:v>
                </c:pt>
                <c:pt idx="1">
                  <c:v>10245</c:v>
                </c:pt>
                <c:pt idx="2">
                  <c:v>3152</c:v>
                </c:pt>
                <c:pt idx="3">
                  <c:v>1007</c:v>
                </c:pt>
                <c:pt idx="4">
                  <c:v>850</c:v>
                </c:pt>
                <c:pt idx="5">
                  <c:v>609</c:v>
                </c:pt>
                <c:pt idx="6">
                  <c:v>468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E-4699-B8C3-56D73E47180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768519"/>
        <c:axId val="1121072135"/>
      </c:barChart>
      <c:catAx>
        <c:axId val="1160768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72135"/>
        <c:crosses val="autoZero"/>
        <c:auto val="1"/>
        <c:lblAlgn val="ctr"/>
        <c:lblOffset val="100"/>
        <c:noMultiLvlLbl val="0"/>
      </c:catAx>
      <c:valAx>
        <c:axId val="112107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685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'Accidents by Year'!$A$3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'Accidents by Year'!$A$4:$A$16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C-4DA2-BA24-DB5FB3F3F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584583"/>
        <c:axId val="1122603015"/>
      </c:barChart>
      <c:lineChart>
        <c:grouping val="standard"/>
        <c:varyColors val="0"/>
        <c:ser>
          <c:idx val="1"/>
          <c:order val="1"/>
          <c:tx>
            <c:strRef>
              <c:f>'Accidents by Year'!$B$3</c:f>
              <c:strCache>
                <c:ptCount val="1"/>
                <c:pt idx="0">
                  <c:v>TotalAccidents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'Accidents by Year'!$B$4:$B$16</c:f>
              <c:numCache>
                <c:formatCode>General</c:formatCode>
                <c:ptCount val="13"/>
                <c:pt idx="0">
                  <c:v>4625</c:v>
                </c:pt>
                <c:pt idx="1">
                  <c:v>4269</c:v>
                </c:pt>
                <c:pt idx="2">
                  <c:v>3967</c:v>
                </c:pt>
                <c:pt idx="3">
                  <c:v>3937</c:v>
                </c:pt>
                <c:pt idx="4">
                  <c:v>4055</c:v>
                </c:pt>
                <c:pt idx="5">
                  <c:v>4341</c:v>
                </c:pt>
                <c:pt idx="6">
                  <c:v>4014</c:v>
                </c:pt>
                <c:pt idx="7">
                  <c:v>4060</c:v>
                </c:pt>
                <c:pt idx="8">
                  <c:v>3914</c:v>
                </c:pt>
                <c:pt idx="9">
                  <c:v>4223</c:v>
                </c:pt>
                <c:pt idx="10">
                  <c:v>4058</c:v>
                </c:pt>
                <c:pt idx="11">
                  <c:v>4167</c:v>
                </c:pt>
                <c:pt idx="12">
                  <c:v>4313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C-4DA2-BA24-DB5FB3F3F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584583"/>
        <c:axId val="1122603015"/>
      </c:lineChart>
      <c:catAx>
        <c:axId val="1122584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03015"/>
        <c:crosses val="autoZero"/>
        <c:auto val="1"/>
        <c:lblAlgn val="ctr"/>
        <c:lblOffset val="100"/>
        <c:noMultiLvlLbl val="0"/>
      </c:catAx>
      <c:valAx>
        <c:axId val="1122603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8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 vs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'Weekend vs Weekday'!$B$3</c:f>
              <c:strCache>
                <c:ptCount val="1"/>
                <c:pt idx="0">
                  <c:v>TotalAccidents</c:v>
                </c:pt>
              </c:strCache>
            </c:strRef>
          </c:tx>
          <c:spPr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3175">
                <a:solidFill>
                  <a:srgbClr val="000000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3175">
                <a:solidFill>
                  <a:srgbClr val="000000"/>
                </a:solidFill>
                <a:prstDash val="solid"/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3175">
                <a:solidFill>
                  <a:srgbClr val="000000"/>
                </a:solidFill>
                <a:prstDash val="solid"/>
              </a:ln>
              <a:effectLst/>
            </c:spPr>
          </c:dPt>
          <c:cat>
            <c:strRef>
              <c:f>'Weekend vs Weekday'!$A$4:$A$6</c:f>
              <c:strCache>
                <c:ptCount val="3"/>
                <c:pt idx="0">
                  <c:v>Weekday</c:v>
                </c:pt>
                <c:pt idx="1">
                  <c:v>Weekend</c:v>
                </c:pt>
                <c:pt idx="2">
                  <c:v>Unknown</c:v>
                </c:pt>
              </c:strCache>
            </c:strRef>
          </c:cat>
          <c:val>
            <c:numRef>
              <c:f>'Weekend vs Weekday'!$B$4:$B$6</c:f>
              <c:numCache>
                <c:formatCode>General</c:formatCode>
                <c:ptCount val="3"/>
                <c:pt idx="0">
                  <c:v>40604</c:v>
                </c:pt>
                <c:pt idx="1">
                  <c:v>13271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5-4028-9E38-DCD9E1FE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Hour</a:t>
            </a:r>
          </a:p>
        </c:rich>
      </c:tx>
      <c:layout>
        <c:manualLayout>
          <c:xMode val="edge"/>
          <c:yMode val="edge"/>
          <c:x val="0.32124294619422572"/>
          <c:y val="2.6950076836250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'Accidents by Hour'!$A$3</c:f>
              <c:strCache>
                <c:ptCount val="1"/>
                <c:pt idx="0">
                  <c:v>Hour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'Accidents by Hour'!$A$4:$A$28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1000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1500</c:v>
                </c:pt>
                <c:pt idx="9">
                  <c:v>1600</c:v>
                </c:pt>
                <c:pt idx="10">
                  <c:v>1700</c:v>
                </c:pt>
                <c:pt idx="11">
                  <c:v>1800</c:v>
                </c:pt>
                <c:pt idx="12">
                  <c:v>1900</c:v>
                </c:pt>
                <c:pt idx="13">
                  <c:v>200</c:v>
                </c:pt>
                <c:pt idx="14">
                  <c:v>2000</c:v>
                </c:pt>
                <c:pt idx="15">
                  <c:v>2100</c:v>
                </c:pt>
                <c:pt idx="16">
                  <c:v>2200</c:v>
                </c:pt>
                <c:pt idx="17">
                  <c:v>2300</c:v>
                </c:pt>
                <c:pt idx="18">
                  <c:v>300</c:v>
                </c:pt>
                <c:pt idx="19">
                  <c:v>400</c:v>
                </c:pt>
                <c:pt idx="20">
                  <c:v>500</c:v>
                </c:pt>
                <c:pt idx="21">
                  <c:v>600</c:v>
                </c:pt>
                <c:pt idx="22">
                  <c:v>700</c:v>
                </c:pt>
                <c:pt idx="23">
                  <c:v>800</c:v>
                </c:pt>
                <c:pt idx="24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A-4401-AAD4-9146226C6E9F}"/>
            </c:ext>
          </c:extLst>
        </c:ser>
        <c:ser>
          <c:idx val="1"/>
          <c:order val="1"/>
          <c:tx>
            <c:strRef>
              <c:f>'Accidents by Hour'!$B$3</c:f>
              <c:strCache>
                <c:ptCount val="1"/>
                <c:pt idx="0">
                  <c:v>TotalAccidents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'Accidents by Hour'!$B$4:$B$28</c:f>
              <c:numCache>
                <c:formatCode>General</c:formatCode>
                <c:ptCount val="25"/>
                <c:pt idx="0">
                  <c:v>225</c:v>
                </c:pt>
                <c:pt idx="1">
                  <c:v>1115</c:v>
                </c:pt>
                <c:pt idx="2">
                  <c:v>801</c:v>
                </c:pt>
                <c:pt idx="3">
                  <c:v>2360</c:v>
                </c:pt>
                <c:pt idx="4">
                  <c:v>3040</c:v>
                </c:pt>
                <c:pt idx="5">
                  <c:v>3819</c:v>
                </c:pt>
                <c:pt idx="6">
                  <c:v>3526</c:v>
                </c:pt>
                <c:pt idx="7">
                  <c:v>3750</c:v>
                </c:pt>
                <c:pt idx="8">
                  <c:v>4283</c:v>
                </c:pt>
                <c:pt idx="9">
                  <c:v>4488</c:v>
                </c:pt>
                <c:pt idx="10">
                  <c:v>4631</c:v>
                </c:pt>
                <c:pt idx="11">
                  <c:v>3232</c:v>
                </c:pt>
                <c:pt idx="12">
                  <c:v>2442</c:v>
                </c:pt>
                <c:pt idx="13">
                  <c:v>716</c:v>
                </c:pt>
                <c:pt idx="14">
                  <c:v>1918</c:v>
                </c:pt>
                <c:pt idx="15">
                  <c:v>1794</c:v>
                </c:pt>
                <c:pt idx="16">
                  <c:v>1503</c:v>
                </c:pt>
                <c:pt idx="17">
                  <c:v>1187</c:v>
                </c:pt>
                <c:pt idx="18">
                  <c:v>719</c:v>
                </c:pt>
                <c:pt idx="19">
                  <c:v>478</c:v>
                </c:pt>
                <c:pt idx="20">
                  <c:v>514</c:v>
                </c:pt>
                <c:pt idx="21">
                  <c:v>806</c:v>
                </c:pt>
                <c:pt idx="22">
                  <c:v>2031</c:v>
                </c:pt>
                <c:pt idx="23">
                  <c:v>2247</c:v>
                </c:pt>
                <c:pt idx="24">
                  <c:v>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2A-4401-AAD4-9146226C6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649351"/>
        <c:axId val="1150651399"/>
      </c:lineChart>
      <c:catAx>
        <c:axId val="1150649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51399"/>
        <c:crosses val="autoZero"/>
        <c:auto val="1"/>
        <c:lblAlgn val="ctr"/>
        <c:lblOffset val="100"/>
        <c:noMultiLvlLbl val="0"/>
      </c:catAx>
      <c:valAx>
        <c:axId val="11506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581025</xdr:colOff>
      <xdr:row>34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B683FA-FF67-84DD-0E81-8291BDEDEB81}"/>
            </a:ext>
          </a:extLst>
        </xdr:cNvPr>
        <xdr:cNvSpPr txBox="1"/>
      </xdr:nvSpPr>
      <xdr:spPr>
        <a:xfrm>
          <a:off x="0" y="0"/>
          <a:ext cx="10944225" cy="65151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u="sng">
              <a:latin typeface="+mn-lt"/>
              <a:ea typeface="+mn-lt"/>
              <a:cs typeface="+mn-lt"/>
            </a:rPr>
            <a:t>Key Findings: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 u="sng">
              <a:latin typeface="+mn-lt"/>
              <a:ea typeface="+mn-lt"/>
              <a:cs typeface="+mn-lt"/>
            </a:rPr>
            <a:t>Accidents by Collision Type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100">
              <a:latin typeface="+mn-lt"/>
              <a:ea typeface="+mn-lt"/>
              <a:cs typeface="+mn-lt"/>
            </a:rPr>
            <a:t>The majority of accidents involved two cars (~70%), followed by single-car accidents (~19%).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100">
              <a:latin typeface="+mn-lt"/>
              <a:ea typeface="+mn-lt"/>
              <a:cs typeface="+mn-lt"/>
            </a:rPr>
            <a:t>Multi-car collisions (3+ cars) accounted for ~6%, while vulnerable road users — motorcycles, pedestrians, and cyclists — comprised about 4% of accidents.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100">
              <a:latin typeface="+mn-lt"/>
              <a:ea typeface="+mn-lt"/>
              <a:cs typeface="+mn-lt"/>
            </a:rPr>
            <a:t>This indicates that while most incidents involve standard vehicles, there is still a notable risk to vulnerable users.</a:t>
          </a:r>
        </a:p>
        <a:p>
          <a:pPr marL="0" indent="0" algn="l"/>
          <a:endParaRPr lang="en-US" sz="11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 u="sng">
              <a:latin typeface="+mn-lt"/>
              <a:ea typeface="+mn-lt"/>
              <a:cs typeface="+mn-lt"/>
            </a:rPr>
            <a:t>Accidents by Year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100">
              <a:latin typeface="+mn-lt"/>
              <a:ea typeface="+mn-lt"/>
              <a:cs typeface="+mn-lt"/>
            </a:rPr>
            <a:t>Accident counts fluctuated slightly over the years, ranging from 3,914 (2011) to 4,625 (2003).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100">
              <a:latin typeface="+mn-lt"/>
              <a:ea typeface="+mn-lt"/>
              <a:cs typeface="+mn-lt"/>
            </a:rPr>
            <a:t>Overall, the trend is relatively stable, suggesting consistent traffic patterns and reporting over time.</a:t>
          </a:r>
        </a:p>
        <a:p>
          <a:pPr marL="0" indent="0" algn="l"/>
          <a:endParaRPr lang="en-US" sz="11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 u="sng">
              <a:latin typeface="+mn-lt"/>
              <a:ea typeface="+mn-lt"/>
              <a:cs typeface="+mn-lt"/>
            </a:rPr>
            <a:t>Weekday vs Weekend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100">
              <a:latin typeface="+mn-lt"/>
              <a:ea typeface="+mn-lt"/>
              <a:cs typeface="+mn-lt"/>
            </a:rPr>
            <a:t>Most accidents occurred on weekdays (~74%), likely due to commuting and higher traffic volumes.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100">
              <a:latin typeface="+mn-lt"/>
              <a:ea typeface="+mn-lt"/>
              <a:cs typeface="+mn-lt"/>
            </a:rPr>
            <a:t>Weekends accounted for ~24% of accidents, highlighting different traffic and risk patterns.</a:t>
          </a:r>
        </a:p>
        <a:p>
          <a:pPr marL="0" indent="0" algn="l"/>
          <a:endParaRPr lang="en-US" sz="11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 u="sng">
              <a:latin typeface="+mn-lt"/>
              <a:ea typeface="+mn-lt"/>
              <a:cs typeface="+mn-lt"/>
            </a:rPr>
            <a:t>Accidents by Hour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`</a:t>
          </a:r>
          <a:r>
            <a:rPr lang="en-US" sz="1100">
              <a:latin typeface="+mn-lt"/>
              <a:ea typeface="+mn-lt"/>
              <a:cs typeface="+mn-lt"/>
            </a:rPr>
            <a:t>Accidents peaked during the morning commute (7–9 AM), with the highest at 9 AM.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`</a:t>
          </a:r>
          <a:r>
            <a:rPr lang="en-US" sz="1100">
              <a:latin typeface="+mn-lt"/>
              <a:ea typeface="+mn-lt"/>
              <a:cs typeface="+mn-lt"/>
            </a:rPr>
            <a:t>Late-night and early-morning hours experienced the fewest accidents, indicating lower traffic volumes and less risk during those times.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`</a:t>
          </a:r>
          <a:r>
            <a:rPr lang="en-US" sz="1100">
              <a:latin typeface="+mn-lt"/>
              <a:ea typeface="+mn-lt"/>
              <a:cs typeface="+mn-lt"/>
            </a:rPr>
            <a:t>Afternoon accidents were moderate, showing secondary activity peaks.</a:t>
          </a:r>
        </a:p>
        <a:p>
          <a:pPr marL="0" indent="0" algn="l"/>
          <a:endParaRPr lang="en-US" sz="11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 u="sng">
              <a:latin typeface="+mn-lt"/>
              <a:ea typeface="+mn-lt"/>
              <a:cs typeface="+mn-lt"/>
            </a:rPr>
            <a:t>Insights &amp; Recommendations: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`</a:t>
          </a:r>
          <a:r>
            <a:rPr lang="en-US" sz="1100">
              <a:latin typeface="+mn-lt"/>
              <a:ea typeface="+mn-lt"/>
              <a:cs typeface="+mn-lt"/>
            </a:rPr>
            <a:t>Traffic safety interventions should focus on morning commute hours and weekday traffic, where most accidents occur.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`</a:t>
          </a:r>
          <a:r>
            <a:rPr lang="en-US" sz="1100">
              <a:latin typeface="+mn-lt"/>
              <a:ea typeface="+mn-lt"/>
              <a:cs typeface="+mn-lt"/>
            </a:rPr>
            <a:t>Vulnerable road users (motorcyclists, pedestrians, cyclists) require targeted safety campaigns.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`</a:t>
          </a:r>
          <a:r>
            <a:rPr lang="en-US" sz="1100">
              <a:latin typeface="+mn-lt"/>
              <a:ea typeface="+mn-lt"/>
              <a:cs typeface="+mn-lt"/>
            </a:rPr>
            <a:t>While overall accident counts are stable, monitoring trends annually can help evaluate the effectiveness of safety measures and infrastructure changes.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285750</xdr:rowOff>
    </xdr:from>
    <xdr:to>
      <xdr:col>9</xdr:col>
      <xdr:colOff>438150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723CE-4510-5753-D795-474BFA7C5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12</xdr:row>
      <xdr:rowOff>0</xdr:rowOff>
    </xdr:from>
    <xdr:to>
      <xdr:col>2</xdr:col>
      <xdr:colOff>28575</xdr:colOff>
      <xdr:row>33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C9D1CE-D9FE-6C18-67EB-8934A7664732}"/>
            </a:ext>
            <a:ext uri="{147F2762-F138-4A5C-976F-8EAC2B608ADB}">
              <a16:predDERef xmlns:a16="http://schemas.microsoft.com/office/drawing/2014/main" pred="{BEE723CE-4510-5753-D795-474BFA7C500C}"/>
            </a:ext>
          </a:extLst>
        </xdr:cNvPr>
        <xdr:cNvSpPr txBox="1"/>
      </xdr:nvSpPr>
      <xdr:spPr>
        <a:xfrm>
          <a:off x="28575" y="2514600"/>
          <a:ext cx="2247900" cy="40386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u="none" strike="noStrike">
              <a:solidFill>
                <a:srgbClr val="000000"/>
              </a:solidFill>
              <a:latin typeface="Aptos Narrow" panose="020B0004020202020204" pitchFamily="34" charset="0"/>
            </a:rPr>
            <a:t>Fi</a:t>
          </a:r>
          <a:r>
            <a:rPr lang="en-US" sz="1200" b="1" u="none" strike="noStrike">
              <a:solidFill>
                <a:srgbClr val="000000"/>
              </a:solidFill>
              <a:latin typeface="Aptos Narrow" panose="020B0004020202020204" pitchFamily="34" charset="0"/>
            </a:rPr>
            <a:t>ndings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- 70% of all collision involes 2 cars together on the road.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-19% are just single cars, this could be anything from hitting objects, running of road, or rollovers.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-6% of collisions involes 3 or more cars together, this might be more severe then the others.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- 4% of collisions involes,  Moped/Motorcycle, Pedestrian and Cyclists. They are more likey for injury.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-Bus accidents are the rarest accounting for 1.6% of collisions</a:t>
          </a:r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ctr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28575</xdr:rowOff>
    </xdr:from>
    <xdr:to>
      <xdr:col>12</xdr:col>
      <xdr:colOff>600075</xdr:colOff>
      <xdr:row>20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6EF9CA-DB0E-D2BD-F141-63EED6085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171450</xdr:rowOff>
    </xdr:from>
    <xdr:to>
      <xdr:col>12</xdr:col>
      <xdr:colOff>361950</xdr:colOff>
      <xdr:row>28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528133-37C8-0CB5-4178-0B53E92B8810}"/>
            </a:ext>
            <a:ext uri="{147F2762-F138-4A5C-976F-8EAC2B608ADB}">
              <a16:predDERef xmlns:a16="http://schemas.microsoft.com/office/drawing/2014/main" pred="{176EF9CA-DB0E-D2BD-F141-63EED6085C1A}"/>
            </a:ext>
          </a:extLst>
        </xdr:cNvPr>
        <xdr:cNvSpPr txBox="1"/>
      </xdr:nvSpPr>
      <xdr:spPr>
        <a:xfrm>
          <a:off x="0" y="4210050"/>
          <a:ext cx="9305925" cy="143827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Findings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Accidents peaked in 2003 (4,625).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The lowest year was 2011 (3,914).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After 2011, accidents slowly increased again, reaching 4,313 in 2015.</a:t>
          </a:r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2</xdr:row>
      <xdr:rowOff>9525</xdr:rowOff>
    </xdr:from>
    <xdr:to>
      <xdr:col>10</xdr:col>
      <xdr:colOff>333375</xdr:colOff>
      <xdr:row>15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3A84E5-E1B2-DD91-3C6C-B9ADC5DEE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123825</xdr:rowOff>
    </xdr:from>
    <xdr:to>
      <xdr:col>7</xdr:col>
      <xdr:colOff>1838325</xdr:colOff>
      <xdr:row>26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3AB4E5-82F3-5BC1-B887-F9677DD2689E}"/>
            </a:ext>
            <a:ext uri="{147F2762-F138-4A5C-976F-8EAC2B608ADB}">
              <a16:predDERef xmlns:a16="http://schemas.microsoft.com/office/drawing/2014/main" pred="{8C3A84E5-E1B2-DD91-3C6C-B9ADC5DEED9D}"/>
            </a:ext>
          </a:extLst>
        </xdr:cNvPr>
        <xdr:cNvSpPr txBox="1"/>
      </xdr:nvSpPr>
      <xdr:spPr>
        <a:xfrm>
          <a:off x="0" y="3400425"/>
          <a:ext cx="6210300" cy="18002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Findings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2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Most accidents occur on weekdays (~74%)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2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Expected, as weekdays have higher traffic volume due to commuting, school, and work.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2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Weekends account for ~24% of accidents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</a:t>
          </a:r>
          <a:r>
            <a:rPr lang="en-US" sz="12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Lower volume but may include more severe accidents due to factors like higher speeds, impaired driving, or recreational traffic.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47625</xdr:rowOff>
    </xdr:from>
    <xdr:to>
      <xdr:col>13</xdr:col>
      <xdr:colOff>9525</xdr:colOff>
      <xdr:row>21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74D25C-B3D8-0F88-AFA0-BB5E4F302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22</xdr:row>
      <xdr:rowOff>47625</xdr:rowOff>
    </xdr:from>
    <xdr:to>
      <xdr:col>10</xdr:col>
      <xdr:colOff>514350</xdr:colOff>
      <xdr:row>33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95CC57-455F-E5D9-3237-8C420624EE07}"/>
            </a:ext>
            <a:ext uri="{147F2762-F138-4A5C-976F-8EAC2B608ADB}">
              <a16:predDERef xmlns:a16="http://schemas.microsoft.com/office/drawing/2014/main" pred="{F274D25C-B3D8-0F88-AFA0-BB5E4F302452}"/>
            </a:ext>
          </a:extLst>
        </xdr:cNvPr>
        <xdr:cNvSpPr txBox="1"/>
      </xdr:nvSpPr>
      <xdr:spPr>
        <a:xfrm>
          <a:off x="1847850" y="4467225"/>
          <a:ext cx="6591300" cy="20669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Findings</a:t>
          </a:r>
          <a:endParaRPr lang="en-US" sz="12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-</a:t>
          </a:r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Highest accident counts are around 9 AM (4,631), 8 AM (4,488), and 7 AM (4,283).</a:t>
          </a:r>
        </a:p>
        <a:p>
          <a:pPr marL="0" indent="0" algn="l"/>
          <a:endParaRPr lang="en-US" sz="12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-</a:t>
          </a:r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Indicates morning commute period has the most accidents.</a:t>
          </a:r>
        </a:p>
        <a:p>
          <a:pPr marL="0" indent="0" algn="l"/>
          <a:endParaRPr lang="en-US" sz="12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-</a:t>
          </a:r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There’s another cluster in the afternoon/early evening, e.g., 2–3 PM (~1,500–1,800), smaller than the morning peak.</a:t>
          </a:r>
        </a:p>
        <a:p>
          <a:pPr marL="0" indent="0" algn="l"/>
          <a:endParaRPr lang="en-US" sz="12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-</a:t>
          </a:r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Very early morning (1–2 AM) and late evening (6–7 PM) have the lowest accident counts.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F4FFE-A0ED-49FC-B050-2D2AE6568BA3}" name="Table1" displayName="Table1" ref="A3:B11" totalsRowShown="0" headerRowBorderDxfId="4" tableBorderDxfId="5">
  <autoFilter ref="A3:B11" xr:uid="{855F4FFE-A0ED-49FC-B050-2D2AE6568BA3}"/>
  <tableColumns count="2">
    <tableColumn id="1" xr3:uid="{98726B61-7879-47F7-96AA-FA8CC1D5EBF1}" name="Collision_Type"/>
    <tableColumn id="2" xr3:uid="{3187DF5D-6457-4684-9F74-7734B12A6E8F}" name="TotalAccident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FB9C96-92F6-499E-9861-5B8619F22610}" name="Table27" displayName="Table27" ref="A3:B16" totalsRowShown="0" headerRowBorderDxfId="2" tableBorderDxfId="3">
  <autoFilter ref="A3:B16" xr:uid="{86FB9C96-92F6-499E-9861-5B8619F22610}"/>
  <tableColumns count="2">
    <tableColumn id="1" xr3:uid="{3576BF46-5EA1-471A-89F4-68BAF0E007DB}" name="Year"/>
    <tableColumn id="2" xr3:uid="{52529F84-0D3A-4E66-856B-824496B1301B}" name="TotalAccident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EC6F38-EE1C-4CD8-B99E-3E538766EB70}" name="Table46" displayName="Table46" ref="A3:B6" totalsRowShown="0" headerRowBorderDxfId="0" tableBorderDxfId="1">
  <autoFilter ref="A3:B6" xr:uid="{FCEC6F38-EE1C-4CD8-B99E-3E538766EB70}"/>
  <tableColumns count="2">
    <tableColumn id="1" xr3:uid="{812DD863-C517-40E0-A53A-D75951037CC0}" name="Weekend"/>
    <tableColumn id="2" xr3:uid="{F0767343-7E2A-4479-8AA2-C376B180644C}" name="TotalAccident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8CF7DC-7B60-4231-A21E-607B9B378717}" name="Table38" displayName="Table38" ref="A3:B28" totalsRowShown="0">
  <autoFilter ref="A3:B28" xr:uid="{948CF7DC-7B60-4231-A21E-607B9B378717}"/>
  <tableColumns count="2">
    <tableColumn id="1" xr3:uid="{149A38DE-EC05-4C06-8233-7C0A4BEC05FC}" name="Hour"/>
    <tableColumn id="2" xr3:uid="{B00CCBFC-2C53-456B-B30A-13145F49CFB5}" name="TotalAcciden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80C2-2437-436E-835D-DA8032CE9DC0}">
  <dimension ref="A1"/>
  <sheetViews>
    <sheetView topLeftCell="A10" workbookViewId="0">
      <selection activeCell="N2" sqref="M1:N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4" workbookViewId="0">
      <selection activeCell="D29" sqref="D29"/>
    </sheetView>
  </sheetViews>
  <sheetFormatPr defaultRowHeight="15"/>
  <cols>
    <col min="1" max="2" width="16.85546875" bestFit="1" customWidth="1"/>
    <col min="3" max="3" width="13.5703125" bestFit="1" customWidth="1"/>
    <col min="4" max="4" width="15.140625" customWidth="1"/>
    <col min="5" max="5" width="16.42578125" customWidth="1"/>
    <col min="6" max="6" width="13.5703125" bestFit="1" customWidth="1"/>
    <col min="7" max="7" width="14.7109375" customWidth="1"/>
    <col min="8" max="8" width="16.85546875" customWidth="1"/>
    <col min="9" max="9" width="13.5703125" bestFit="1" customWidth="1"/>
    <col min="12" max="12" width="13.5703125" bestFit="1" customWidth="1"/>
    <col min="23" max="23" width="16.42578125" bestFit="1" customWidth="1"/>
  </cols>
  <sheetData>
    <row r="1" spans="1:19" ht="24">
      <c r="A1" s="3"/>
      <c r="B1" s="4"/>
      <c r="C1" s="4"/>
      <c r="D1" s="4"/>
      <c r="E1" s="4"/>
      <c r="F1" s="4"/>
      <c r="G1" s="4"/>
      <c r="H1" s="5" t="s">
        <v>0</v>
      </c>
      <c r="I1" s="4"/>
      <c r="J1" s="4"/>
      <c r="K1" s="4"/>
      <c r="L1" s="4"/>
      <c r="M1" s="4"/>
      <c r="N1" s="4"/>
      <c r="O1" s="4"/>
      <c r="P1" s="4"/>
      <c r="Q1" s="4"/>
      <c r="R1" s="6"/>
      <c r="S1" s="11"/>
    </row>
    <row r="2" spans="1:19" ht="24">
      <c r="A2" s="7" t="s">
        <v>1</v>
      </c>
      <c r="B2" s="8"/>
      <c r="D2" s="9" t="s">
        <v>2</v>
      </c>
      <c r="E2" s="10"/>
      <c r="F2" s="10"/>
      <c r="G2" s="10"/>
      <c r="H2" s="10"/>
      <c r="I2" s="10"/>
      <c r="J2" s="10"/>
      <c r="K2" s="11"/>
      <c r="L2" s="11"/>
      <c r="M2" s="11"/>
    </row>
    <row r="3" spans="1:19">
      <c r="A3" s="1" t="s">
        <v>3</v>
      </c>
      <c r="B3" s="2" t="s">
        <v>4</v>
      </c>
    </row>
    <row r="4" spans="1:19">
      <c r="A4" t="s">
        <v>5</v>
      </c>
      <c r="B4">
        <v>37606</v>
      </c>
    </row>
    <row r="5" spans="1:19">
      <c r="A5" t="s">
        <v>6</v>
      </c>
      <c r="B5">
        <v>10245</v>
      </c>
    </row>
    <row r="6" spans="1:19">
      <c r="A6" t="s">
        <v>7</v>
      </c>
      <c r="B6">
        <v>3152</v>
      </c>
    </row>
    <row r="7" spans="1:19">
      <c r="A7" t="s">
        <v>8</v>
      </c>
      <c r="B7">
        <v>1007</v>
      </c>
    </row>
    <row r="8" spans="1:19">
      <c r="A8" t="s">
        <v>9</v>
      </c>
      <c r="B8">
        <v>850</v>
      </c>
    </row>
    <row r="9" spans="1:19">
      <c r="A9" t="s">
        <v>10</v>
      </c>
      <c r="B9">
        <v>609</v>
      </c>
    </row>
    <row r="10" spans="1:19">
      <c r="A10" t="s">
        <v>11</v>
      </c>
      <c r="B10">
        <v>468</v>
      </c>
    </row>
    <row r="11" spans="1:19">
      <c r="A11" t="s">
        <v>12</v>
      </c>
      <c r="B11">
        <v>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5309-2A33-49A7-A987-B05FC42F8CEC}">
  <dimension ref="A1:R16"/>
  <sheetViews>
    <sheetView topLeftCell="A9" workbookViewId="0">
      <selection activeCell="H37" sqref="H37"/>
    </sheetView>
  </sheetViews>
  <sheetFormatPr defaultRowHeight="15"/>
  <cols>
    <col min="8" max="8" width="33.5703125" bestFit="1" customWidth="1"/>
  </cols>
  <sheetData>
    <row r="1" spans="1:18" ht="24">
      <c r="A1" s="3"/>
      <c r="B1" s="4"/>
      <c r="C1" s="4"/>
      <c r="D1" s="4"/>
      <c r="E1" s="4"/>
      <c r="F1" s="4"/>
      <c r="G1" s="4"/>
      <c r="H1" s="5" t="s">
        <v>13</v>
      </c>
      <c r="I1" s="4"/>
      <c r="J1" s="4"/>
      <c r="K1" s="4"/>
      <c r="L1" s="4"/>
      <c r="M1" s="4"/>
      <c r="N1" s="4"/>
      <c r="O1" s="4"/>
      <c r="P1" s="4"/>
      <c r="Q1" s="4"/>
      <c r="R1" s="6"/>
    </row>
    <row r="2" spans="1:18" ht="24">
      <c r="A2" s="7" t="s">
        <v>1</v>
      </c>
      <c r="B2" s="8"/>
      <c r="D2" s="7" t="s">
        <v>2</v>
      </c>
      <c r="E2" s="8"/>
      <c r="F2" s="8"/>
      <c r="G2" s="8"/>
      <c r="H2" s="8"/>
      <c r="I2" s="8"/>
      <c r="J2" s="8"/>
      <c r="K2" s="8"/>
      <c r="L2" s="8"/>
      <c r="M2" s="8"/>
    </row>
    <row r="3" spans="1:18">
      <c r="A3" s="1" t="s">
        <v>14</v>
      </c>
      <c r="B3" s="2" t="s">
        <v>4</v>
      </c>
    </row>
    <row r="4" spans="1:18">
      <c r="A4">
        <v>2003</v>
      </c>
      <c r="B4">
        <v>4625</v>
      </c>
    </row>
    <row r="5" spans="1:18">
      <c r="A5">
        <v>2004</v>
      </c>
      <c r="B5">
        <v>4269</v>
      </c>
    </row>
    <row r="6" spans="1:18">
      <c r="A6">
        <v>2005</v>
      </c>
      <c r="B6">
        <v>3967</v>
      </c>
    </row>
    <row r="7" spans="1:18">
      <c r="A7">
        <v>2006</v>
      </c>
      <c r="B7">
        <v>3937</v>
      </c>
    </row>
    <row r="8" spans="1:18">
      <c r="A8">
        <v>2007</v>
      </c>
      <c r="B8">
        <v>4055</v>
      </c>
    </row>
    <row r="9" spans="1:18">
      <c r="A9">
        <v>2008</v>
      </c>
      <c r="B9">
        <v>4341</v>
      </c>
    </row>
    <row r="10" spans="1:18">
      <c r="A10">
        <v>2009</v>
      </c>
      <c r="B10">
        <v>4014</v>
      </c>
    </row>
    <row r="11" spans="1:18">
      <c r="A11">
        <v>2010</v>
      </c>
      <c r="B11">
        <v>4060</v>
      </c>
    </row>
    <row r="12" spans="1:18">
      <c r="A12">
        <v>2011</v>
      </c>
      <c r="B12">
        <v>3914</v>
      </c>
    </row>
    <row r="13" spans="1:18">
      <c r="A13">
        <v>2012</v>
      </c>
      <c r="B13">
        <v>4223</v>
      </c>
    </row>
    <row r="14" spans="1:18">
      <c r="A14">
        <v>2013</v>
      </c>
      <c r="B14">
        <v>4058</v>
      </c>
    </row>
    <row r="15" spans="1:18">
      <c r="A15">
        <v>2014</v>
      </c>
      <c r="B15">
        <v>4167</v>
      </c>
    </row>
    <row r="16" spans="1:18">
      <c r="A16">
        <v>2015</v>
      </c>
      <c r="B16">
        <v>4313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7FA2-B364-428C-BCF3-B457CCB53BED}">
  <dimension ref="A1:R6"/>
  <sheetViews>
    <sheetView workbookViewId="0">
      <selection activeCell="N23" sqref="N23"/>
    </sheetView>
  </sheetViews>
  <sheetFormatPr defaultRowHeight="15"/>
  <cols>
    <col min="3" max="3" width="10.7109375" customWidth="1"/>
    <col min="8" max="8" width="33.5703125" bestFit="1" customWidth="1"/>
  </cols>
  <sheetData>
    <row r="1" spans="1:18" ht="24">
      <c r="A1" s="3"/>
      <c r="B1" s="4"/>
      <c r="C1" s="4"/>
      <c r="D1" s="4"/>
      <c r="E1" s="4"/>
      <c r="F1" s="4"/>
      <c r="G1" s="4"/>
      <c r="H1" s="5" t="s">
        <v>15</v>
      </c>
      <c r="I1" s="4"/>
      <c r="J1" s="4"/>
      <c r="K1" s="4"/>
      <c r="L1" s="13"/>
      <c r="M1" s="13"/>
      <c r="N1" s="4"/>
      <c r="O1" s="4"/>
      <c r="P1" s="4"/>
      <c r="Q1" s="4"/>
      <c r="R1" s="6"/>
    </row>
    <row r="2" spans="1:18" ht="24">
      <c r="A2" s="7" t="s">
        <v>1</v>
      </c>
      <c r="B2" s="8"/>
      <c r="D2" s="7" t="s">
        <v>2</v>
      </c>
      <c r="E2" s="8"/>
      <c r="F2" s="8"/>
      <c r="G2" s="8"/>
      <c r="H2" s="8"/>
      <c r="I2" s="8"/>
      <c r="J2" s="8"/>
      <c r="K2" s="8"/>
      <c r="L2" s="12"/>
      <c r="M2" s="12"/>
    </row>
    <row r="3" spans="1:18">
      <c r="A3" s="1" t="s">
        <v>16</v>
      </c>
      <c r="B3" s="2" t="s">
        <v>4</v>
      </c>
    </row>
    <row r="4" spans="1:18">
      <c r="A4" t="s">
        <v>17</v>
      </c>
      <c r="B4">
        <v>40604</v>
      </c>
    </row>
    <row r="5" spans="1:18">
      <c r="A5" t="s">
        <v>16</v>
      </c>
      <c r="B5">
        <v>13271</v>
      </c>
    </row>
    <row r="6" spans="1:18">
      <c r="A6" t="s">
        <v>12</v>
      </c>
      <c r="B6">
        <v>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E84F-C8A1-44B9-956A-3FDB1D78BDC2}">
  <dimension ref="A1:R28"/>
  <sheetViews>
    <sheetView topLeftCell="A9" workbookViewId="0">
      <selection activeCell="E23" sqref="E23"/>
    </sheetView>
  </sheetViews>
  <sheetFormatPr defaultRowHeight="15"/>
  <cols>
    <col min="8" max="8" width="36.5703125" bestFit="1" customWidth="1"/>
  </cols>
  <sheetData>
    <row r="1" spans="1:18" ht="24">
      <c r="A1" s="3"/>
      <c r="B1" s="4"/>
      <c r="C1" s="4"/>
      <c r="D1" s="4"/>
      <c r="E1" s="4"/>
      <c r="F1" s="4"/>
      <c r="G1" s="4"/>
      <c r="H1" s="5" t="s">
        <v>18</v>
      </c>
      <c r="I1" s="4"/>
      <c r="J1" s="4"/>
      <c r="K1" s="4"/>
      <c r="L1" s="4"/>
      <c r="M1" s="4"/>
      <c r="N1" s="4"/>
      <c r="O1" s="4"/>
      <c r="P1" s="4"/>
      <c r="Q1" s="4"/>
      <c r="R1" s="6"/>
    </row>
    <row r="2" spans="1:18" ht="24">
      <c r="A2" s="7" t="s">
        <v>1</v>
      </c>
      <c r="B2" s="8"/>
      <c r="D2" s="7" t="s">
        <v>2</v>
      </c>
      <c r="E2" s="8"/>
      <c r="F2" s="8"/>
      <c r="G2" s="8"/>
      <c r="H2" s="8"/>
      <c r="I2" s="8"/>
      <c r="J2" s="8"/>
      <c r="K2" s="8"/>
      <c r="L2" s="8"/>
      <c r="M2" s="8"/>
    </row>
    <row r="3" spans="1:18">
      <c r="A3" t="s">
        <v>19</v>
      </c>
      <c r="B3" t="s">
        <v>4</v>
      </c>
    </row>
    <row r="4" spans="1:18">
      <c r="A4" t="s">
        <v>12</v>
      </c>
      <c r="B4">
        <v>225</v>
      </c>
    </row>
    <row r="5" spans="1:18">
      <c r="A5">
        <v>0</v>
      </c>
      <c r="B5">
        <v>1115</v>
      </c>
    </row>
    <row r="6" spans="1:18">
      <c r="A6">
        <v>100</v>
      </c>
      <c r="B6">
        <v>801</v>
      </c>
    </row>
    <row r="7" spans="1:18">
      <c r="A7">
        <v>1000</v>
      </c>
      <c r="B7">
        <v>2360</v>
      </c>
    </row>
    <row r="8" spans="1:18">
      <c r="A8">
        <v>1100</v>
      </c>
      <c r="B8">
        <v>3040</v>
      </c>
    </row>
    <row r="9" spans="1:18">
      <c r="A9">
        <v>1200</v>
      </c>
      <c r="B9">
        <v>3819</v>
      </c>
    </row>
    <row r="10" spans="1:18">
      <c r="A10">
        <v>1300</v>
      </c>
      <c r="B10">
        <v>3526</v>
      </c>
    </row>
    <row r="11" spans="1:18">
      <c r="A11">
        <v>1400</v>
      </c>
      <c r="B11">
        <v>3750</v>
      </c>
    </row>
    <row r="12" spans="1:18">
      <c r="A12">
        <v>1500</v>
      </c>
      <c r="B12">
        <v>4283</v>
      </c>
    </row>
    <row r="13" spans="1:18">
      <c r="A13">
        <v>1600</v>
      </c>
      <c r="B13">
        <v>4488</v>
      </c>
    </row>
    <row r="14" spans="1:18">
      <c r="A14">
        <v>1700</v>
      </c>
      <c r="B14">
        <v>4631</v>
      </c>
    </row>
    <row r="15" spans="1:18">
      <c r="A15">
        <v>1800</v>
      </c>
      <c r="B15">
        <v>3232</v>
      </c>
    </row>
    <row r="16" spans="1:18">
      <c r="A16">
        <v>1900</v>
      </c>
      <c r="B16">
        <v>2442</v>
      </c>
    </row>
    <row r="17" spans="1:2">
      <c r="A17">
        <v>200</v>
      </c>
      <c r="B17">
        <v>716</v>
      </c>
    </row>
    <row r="18" spans="1:2">
      <c r="A18">
        <v>2000</v>
      </c>
      <c r="B18">
        <v>1918</v>
      </c>
    </row>
    <row r="19" spans="1:2">
      <c r="A19">
        <v>2100</v>
      </c>
      <c r="B19">
        <v>1794</v>
      </c>
    </row>
    <row r="20" spans="1:2">
      <c r="A20">
        <v>2200</v>
      </c>
      <c r="B20">
        <v>1503</v>
      </c>
    </row>
    <row r="21" spans="1:2">
      <c r="A21">
        <v>2300</v>
      </c>
      <c r="B21">
        <v>1187</v>
      </c>
    </row>
    <row r="22" spans="1:2">
      <c r="A22">
        <v>300</v>
      </c>
      <c r="B22">
        <v>719</v>
      </c>
    </row>
    <row r="23" spans="1:2">
      <c r="A23">
        <v>400</v>
      </c>
      <c r="B23">
        <v>478</v>
      </c>
    </row>
    <row r="24" spans="1:2">
      <c r="A24">
        <v>500</v>
      </c>
      <c r="B24">
        <v>514</v>
      </c>
    </row>
    <row r="25" spans="1:2">
      <c r="A25">
        <v>600</v>
      </c>
      <c r="B25">
        <v>806</v>
      </c>
    </row>
    <row r="26" spans="1:2">
      <c r="A26">
        <v>700</v>
      </c>
      <c r="B26">
        <v>2031</v>
      </c>
    </row>
    <row r="27" spans="1:2">
      <c r="A27">
        <v>800</v>
      </c>
      <c r="B27">
        <v>2247</v>
      </c>
    </row>
    <row r="28" spans="1:2">
      <c r="A28">
        <v>900</v>
      </c>
      <c r="B28">
        <v>2318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2025-12-14T00:07:50Z</dcterms:created>
  <dcterms:modified xsi:type="dcterms:W3CDTF">2025-12-14T01:13:59Z</dcterms:modified>
  <cp:category/>
  <cp:contentStatus/>
</cp:coreProperties>
</file>